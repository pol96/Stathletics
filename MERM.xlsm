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filterPrivacy="1" codeName="Questa_cartella_di_lavoro"/>
  <bookViews>
    <workbookView xWindow="0" yWindow="0" windowWidth="22260" windowHeight="12648"/>
  </bookViews>
  <sheets>
    <sheet name="Foglio2" sheetId="2" r:id="rId1"/>
  </sheets>
  <definedNames>
    <definedName name="ali">Foglio2!$B$4:$B$13</definedName>
    <definedName name="centri">Foglio2!$B$14:$B$19</definedName>
    <definedName name="Coach">Foglio2!$B$30:$B$32</definedName>
    <definedName name="guardie">Foglio2!$B$20:$B$29</definedName>
    <definedName name="n_player_requested">Foglio2!$E$36:$E$39</definedName>
    <definedName name="p_squadra">Foglio2!$C$77</definedName>
    <definedName name="player_requested">Foglio2!$B$4:$B$32</definedName>
    <definedName name="pt_tot">Foglio2!$C$76</definedName>
    <definedName name="solver_adj" localSheetId="0" hidden="1">Foglio2!$B$4:$B$13,Foglio2!$B$14:$B$19,Foglio2!$B$20:$B$29,Foglio2!$B$30:$B$32</definedName>
    <definedName name="solver_cvg" localSheetId="0" hidden="1">0.0001</definedName>
    <definedName name="solver_drv" localSheetId="0" hidden="1">2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lhs1" localSheetId="0" hidden="1">Foglio2!$C$36:$C$39</definedName>
    <definedName name="solver_lhs2" localSheetId="0" hidden="1">Foglio2!$C$42</definedName>
    <definedName name="solver_lhs3" localSheetId="0" hidden="1">Foglio2!$B$4:$B$32</definedName>
    <definedName name="solver_lhs4" localSheetId="0" hidden="1">Foglio2!$C$41</definedName>
    <definedName name="solver_lhs5" localSheetId="0" hidden="1">Foglio2!$B$4:$B$32</definedName>
    <definedName name="solver_lhs6" localSheetId="0" hidden="1">Foglio2!$B$4:$B$32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6</definedName>
    <definedName name="solver_nwt" localSheetId="0" hidden="1">1</definedName>
    <definedName name="solver_opt" localSheetId="0" hidden="1">Foglio2!$C$76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el2" localSheetId="0" hidden="1">3</definedName>
    <definedName name="solver_rel3" localSheetId="0" hidden="1">1</definedName>
    <definedName name="solver_rel4" localSheetId="0" hidden="1">1</definedName>
    <definedName name="solver_rel5" localSheetId="0" hidden="1">4</definedName>
    <definedName name="solver_rel6" localSheetId="0" hidden="1">3</definedName>
    <definedName name="solver_rhs1" localSheetId="0" hidden="1">n_player_requested</definedName>
    <definedName name="solver_rhs2" localSheetId="0" hidden="1">70</definedName>
    <definedName name="solver_rhs3" localSheetId="0" hidden="1">1</definedName>
    <definedName name="solver_rhs4" localSheetId="0" hidden="1">95</definedName>
    <definedName name="solver_rhs5" localSheetId="0" hidden="1">intero</definedName>
    <definedName name="solver_rhs6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1000</definedName>
    <definedName name="solver_tim" localSheetId="0" hidden="1">100</definedName>
    <definedName name="solver_tol" localSheetId="0" hidden="1">0.01</definedName>
    <definedName name="solver_typ" localSheetId="0" hidden="1">1</definedName>
    <definedName name="solver_val" localSheetId="0" hidden="1">4000</definedName>
    <definedName name="solver_ver" localSheetId="0" hidden="1">3</definedName>
    <definedName name="vincoli">Foglio2!$C$36:$C$39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2" i="2" l="1"/>
  <c r="L32" i="2"/>
  <c r="K32" i="2"/>
  <c r="J32" i="2"/>
  <c r="M31" i="2"/>
  <c r="L31" i="2"/>
  <c r="K31" i="2"/>
  <c r="J31" i="2"/>
  <c r="M30" i="2"/>
  <c r="L30" i="2"/>
  <c r="K30" i="2"/>
  <c r="J30" i="2"/>
  <c r="M29" i="2"/>
  <c r="L29" i="2"/>
  <c r="K29" i="2"/>
  <c r="J29" i="2"/>
  <c r="M28" i="2"/>
  <c r="L28" i="2"/>
  <c r="K28" i="2"/>
  <c r="J28" i="2"/>
  <c r="M27" i="2"/>
  <c r="L27" i="2"/>
  <c r="K27" i="2"/>
  <c r="J27" i="2"/>
  <c r="M26" i="2"/>
  <c r="L26" i="2"/>
  <c r="K26" i="2"/>
  <c r="J26" i="2"/>
  <c r="M25" i="2"/>
  <c r="L25" i="2"/>
  <c r="K25" i="2"/>
  <c r="J25" i="2"/>
  <c r="M24" i="2"/>
  <c r="L24" i="2"/>
  <c r="K24" i="2"/>
  <c r="J24" i="2"/>
  <c r="M23" i="2"/>
  <c r="L23" i="2"/>
  <c r="K23" i="2"/>
  <c r="J23" i="2"/>
  <c r="M22" i="2"/>
  <c r="L22" i="2"/>
  <c r="K22" i="2"/>
  <c r="J22" i="2"/>
  <c r="M21" i="2"/>
  <c r="L21" i="2"/>
  <c r="K21" i="2"/>
  <c r="J21" i="2"/>
  <c r="M20" i="2"/>
  <c r="L20" i="2"/>
  <c r="K20" i="2"/>
  <c r="J20" i="2"/>
  <c r="M19" i="2"/>
  <c r="L19" i="2"/>
  <c r="K19" i="2"/>
  <c r="J19" i="2"/>
  <c r="M18" i="2"/>
  <c r="L18" i="2"/>
  <c r="K18" i="2"/>
  <c r="J18" i="2"/>
  <c r="M17" i="2"/>
  <c r="L17" i="2"/>
  <c r="K17" i="2"/>
  <c r="J17" i="2"/>
  <c r="M16" i="2"/>
  <c r="L16" i="2"/>
  <c r="K16" i="2"/>
  <c r="J16" i="2"/>
  <c r="M15" i="2"/>
  <c r="L15" i="2"/>
  <c r="K15" i="2"/>
  <c r="J15" i="2"/>
  <c r="M14" i="2"/>
  <c r="L14" i="2"/>
  <c r="K14" i="2"/>
  <c r="J14" i="2"/>
  <c r="M13" i="2"/>
  <c r="L13" i="2"/>
  <c r="K13" i="2"/>
  <c r="J13" i="2"/>
  <c r="M12" i="2"/>
  <c r="L12" i="2"/>
  <c r="K12" i="2"/>
  <c r="J12" i="2"/>
  <c r="M11" i="2"/>
  <c r="L11" i="2"/>
  <c r="K11" i="2"/>
  <c r="J11" i="2"/>
  <c r="M10" i="2"/>
  <c r="L10" i="2"/>
  <c r="K10" i="2"/>
  <c r="J10" i="2"/>
  <c r="M9" i="2"/>
  <c r="L9" i="2"/>
  <c r="K9" i="2"/>
  <c r="J9" i="2"/>
  <c r="M8" i="2"/>
  <c r="L8" i="2"/>
  <c r="K8" i="2"/>
  <c r="J8" i="2"/>
  <c r="M7" i="2"/>
  <c r="L7" i="2"/>
  <c r="K7" i="2"/>
  <c r="J7" i="2"/>
  <c r="M6" i="2"/>
  <c r="L6" i="2"/>
  <c r="K6" i="2"/>
  <c r="J6" i="2"/>
  <c r="M5" i="2"/>
  <c r="L5" i="2"/>
  <c r="K5" i="2"/>
  <c r="M4" i="2"/>
  <c r="L4" i="2"/>
  <c r="K4" i="2"/>
  <c r="J4" i="2"/>
  <c r="C72" i="2" l="1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39" i="2"/>
  <c r="C38" i="2"/>
  <c r="C37" i="2"/>
  <c r="C36" i="2"/>
  <c r="J5" i="2"/>
  <c r="C42" i="2" l="1"/>
  <c r="C77" i="2" s="1"/>
  <c r="C41" i="2"/>
  <c r="C76" i="2"/>
</calcChain>
</file>

<file path=xl/sharedStrings.xml><?xml version="1.0" encoding="utf-8"?>
<sst xmlns="http://schemas.openxmlformats.org/spreadsheetml/2006/main" count="171" uniqueCount="54">
  <si>
    <t>PLAYER</t>
  </si>
  <si>
    <t>RUOLO</t>
  </si>
  <si>
    <t>PUNTI TOT</t>
  </si>
  <si>
    <t>PREZZO (SET. 2018)</t>
  </si>
  <si>
    <t>Anunoby</t>
  </si>
  <si>
    <t>A</t>
  </si>
  <si>
    <t>Bell</t>
  </si>
  <si>
    <t>Brooks</t>
  </si>
  <si>
    <t>Durant</t>
  </si>
  <si>
    <t>James</t>
  </si>
  <si>
    <t>Kuzma</t>
  </si>
  <si>
    <t>Sabonis</t>
  </si>
  <si>
    <t>Simmons</t>
  </si>
  <si>
    <t>Tatum</t>
  </si>
  <si>
    <t>Theis</t>
  </si>
  <si>
    <t>Baynes</t>
  </si>
  <si>
    <t>C</t>
  </si>
  <si>
    <t>Cousins</t>
  </si>
  <si>
    <t>Kanter</t>
  </si>
  <si>
    <t>Lopez</t>
  </si>
  <si>
    <t>Poeltl</t>
  </si>
  <si>
    <t>Towns</t>
  </si>
  <si>
    <t>Collison</t>
  </si>
  <si>
    <t>G</t>
  </si>
  <si>
    <t>Dinwiddie</t>
  </si>
  <si>
    <t>Harden</t>
  </si>
  <si>
    <t>Irving</t>
  </si>
  <si>
    <t>Jack</t>
  </si>
  <si>
    <t>Lamb</t>
  </si>
  <si>
    <t>Mitchell</t>
  </si>
  <si>
    <t>Murray</t>
  </si>
  <si>
    <t>Vanvleet</t>
  </si>
  <si>
    <t>Westbrook</t>
  </si>
  <si>
    <t>Kerr</t>
  </si>
  <si>
    <t>HC</t>
  </si>
  <si>
    <t>Mcmillan</t>
  </si>
  <si>
    <t>Triano</t>
  </si>
  <si>
    <t>punti squadra</t>
  </si>
  <si>
    <t>prezzo squadra</t>
  </si>
  <si>
    <t>Constraints</t>
  </si>
  <si>
    <t>guardie</t>
  </si>
  <si>
    <t>ali</t>
  </si>
  <si>
    <t>centri</t>
  </si>
  <si>
    <t>head coach</t>
  </si>
  <si>
    <t xml:space="preserve"> =</t>
  </si>
  <si>
    <t>max_crediti</t>
  </si>
  <si>
    <t>&lt;=</t>
  </si>
  <si>
    <t>min_crediti</t>
  </si>
  <si>
    <t>&gt;=</t>
  </si>
  <si>
    <t>Maximization</t>
  </si>
  <si>
    <t>INT</t>
  </si>
  <si>
    <t>[0,1]</t>
  </si>
  <si>
    <t>PPG</t>
  </si>
  <si>
    <t>PREZZO (DIC. 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</si>
</sst>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2" xfId="0" applyFont="1" applyFill="1" applyBorder="1"/>
    <xf numFmtId="0" fontId="0" fillId="0" borderId="3" xfId="0" applyBorder="1"/>
    <xf numFmtId="0" fontId="1" fillId="4" borderId="4" xfId="0" applyFont="1" applyFill="1" applyBorder="1"/>
    <xf numFmtId="0" fontId="0" fillId="0" borderId="5" xfId="0" applyFont="1" applyFill="1" applyBorder="1"/>
    <xf numFmtId="0" fontId="0" fillId="0" borderId="6" xfId="0" applyBorder="1"/>
    <xf numFmtId="0" fontId="1" fillId="3" borderId="4" xfId="0" applyFont="1" applyFill="1" applyBorder="1"/>
    <xf numFmtId="0" fontId="1" fillId="3" borderId="7" xfId="0" applyFont="1" applyFill="1" applyBorder="1"/>
    <xf numFmtId="0" fontId="0" fillId="0" borderId="8" xfId="0" applyFont="1" applyFill="1" applyBorder="1"/>
    <xf numFmtId="0" fontId="0" fillId="0" borderId="9" xfId="0" applyBorder="1"/>
    <xf numFmtId="0" fontId="1" fillId="4" borderId="1" xfId="0" applyFont="1" applyFill="1" applyBorder="1"/>
    <xf numFmtId="0" fontId="1" fillId="4" borderId="7" xfId="0" applyFont="1" applyFill="1" applyBorder="1"/>
    <xf numFmtId="0" fontId="0" fillId="0" borderId="5" xfId="0" applyBorder="1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0" fontId="0" fillId="0" borderId="13" xfId="0" applyBorder="1"/>
    <xf numFmtId="0" fontId="0" fillId="0" borderId="14" xfId="0" applyBorder="1"/>
    <xf numFmtId="0" fontId="2" fillId="2" borderId="10" xfId="0" applyFont="1" applyFill="1" applyBorder="1"/>
    <xf numFmtId="0" fontId="2" fillId="2" borderId="11" xfId="0" applyFont="1" applyFill="1" applyBorder="1"/>
    <xf numFmtId="0" fontId="3" fillId="2" borderId="11" xfId="0" applyFont="1" applyFill="1" applyBorder="1"/>
    <xf numFmtId="0" fontId="2" fillId="2" borderId="12" xfId="0" applyFont="1" applyFill="1" applyBorder="1"/>
    <xf numFmtId="0" fontId="2" fillId="5" borderId="15" xfId="0" applyFont="1" applyFill="1" applyBorder="1" applyAlignment="1">
      <alignment vertical="center"/>
    </xf>
    <xf numFmtId="0" fontId="2" fillId="5" borderId="16" xfId="0" applyFont="1" applyFill="1" applyBorder="1" applyAlignment="1">
      <alignment vertical="center"/>
    </xf>
    <xf numFmtId="0" fontId="2" fillId="2" borderId="17" xfId="0" applyFont="1" applyFill="1" applyBorder="1"/>
    <xf numFmtId="0" fontId="1" fillId="0" borderId="0" xfId="0" applyFont="1" applyFill="1" applyBorder="1"/>
    <xf numFmtId="0" fontId="0" fillId="0" borderId="18" xfId="0" applyBorder="1"/>
    <xf numFmtId="0" fontId="1" fillId="0" borderId="18" xfId="0" applyFont="1" applyFill="1" applyBorder="1"/>
    <xf numFmtId="0" fontId="2" fillId="0" borderId="0" xfId="0" applyFont="1" applyFill="1" applyBorder="1"/>
    <xf numFmtId="0" fontId="1" fillId="4" borderId="1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1" fillId="4" borderId="4" xfId="0" applyFont="1" applyFill="1" applyBorder="1" applyAlignment="1">
      <alignment horizontal="left"/>
    </xf>
    <xf numFmtId="0" fontId="1" fillId="4" borderId="7" xfId="0" applyFont="1" applyFill="1" applyBorder="1" applyAlignment="1">
      <alignment horizontal="left"/>
    </xf>
    <xf numFmtId="0" fontId="0" fillId="3" borderId="4" xfId="0" applyFont="1" applyFill="1" applyBorder="1" applyAlignment="1">
      <alignment horizontal="left"/>
    </xf>
    <xf numFmtId="0" fontId="3" fillId="0" borderId="0" xfId="0" applyFont="1" applyFill="1" applyBorder="1"/>
    <xf numFmtId="0" fontId="0" fillId="0" borderId="0" xfId="0" applyFill="1" applyBorder="1"/>
    <xf numFmtId="0" fontId="1" fillId="3" borderId="1" xfId="0" applyFont="1" applyFill="1" applyBorder="1"/>
    <xf numFmtId="0" fontId="0" fillId="0" borderId="0" xfId="0" applyBorder="1"/>
    <xf numFmtId="0" fontId="0" fillId="0" borderId="19" xfId="0" applyBorder="1"/>
    <xf numFmtId="0" fontId="0" fillId="0" borderId="20" xfId="0" applyBorder="1"/>
    <xf numFmtId="0" fontId="1" fillId="0" borderId="5" xfId="0" applyFont="1" applyFill="1" applyBorder="1"/>
    <xf numFmtId="0" fontId="1" fillId="0" borderId="8" xfId="0" applyFont="1" applyFill="1" applyBorder="1"/>
    <xf numFmtId="0" fontId="1" fillId="0" borderId="2" xfId="0" applyFont="1" applyFill="1" applyBorder="1"/>
    <xf numFmtId="2" fontId="0" fillId="4" borderId="2" xfId="0" applyNumberFormat="1" applyFill="1" applyBorder="1"/>
    <xf numFmtId="2" fontId="0" fillId="4" borderId="5" xfId="0" applyNumberFormat="1" applyFill="1" applyBorder="1"/>
    <xf numFmtId="2" fontId="0" fillId="4" borderId="8" xfId="0" applyNumberFormat="1" applyFill="1" applyBorder="1"/>
    <xf numFmtId="0" fontId="2" fillId="2" borderId="0" xfId="0" applyFont="1" applyFill="1" applyBorder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efficiency</a:t>
            </a:r>
            <a:r>
              <a:rPr lang="en-US" baseline="0"/>
              <a:t> rating SET. 2018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Foglio2!$F$4:$F$29</c:f>
              <c:numCache>
                <c:formatCode>0.00</c:formatCode>
                <c:ptCount val="26"/>
                <c:pt idx="0">
                  <c:v>6.4642857142857144</c:v>
                </c:pt>
                <c:pt idx="1">
                  <c:v>9.2619047619047628</c:v>
                </c:pt>
                <c:pt idx="2">
                  <c:v>5.6904761904761907</c:v>
                </c:pt>
                <c:pt idx="3">
                  <c:v>23.357142857142858</c:v>
                </c:pt>
                <c:pt idx="4">
                  <c:v>35.452380952380949</c:v>
                </c:pt>
                <c:pt idx="5">
                  <c:v>14.428571428571429</c:v>
                </c:pt>
                <c:pt idx="6">
                  <c:v>14.678571428571429</c:v>
                </c:pt>
                <c:pt idx="7">
                  <c:v>24.357142857142858</c:v>
                </c:pt>
                <c:pt idx="8">
                  <c:v>15.785714285714286</c:v>
                </c:pt>
                <c:pt idx="9">
                  <c:v>5.1785714285714288</c:v>
                </c:pt>
                <c:pt idx="10">
                  <c:v>8.1309523809523814</c:v>
                </c:pt>
                <c:pt idx="11">
                  <c:v>28.166666666666668</c:v>
                </c:pt>
                <c:pt idx="12">
                  <c:v>21.464285714285715</c:v>
                </c:pt>
                <c:pt idx="13">
                  <c:v>14.30952380952381</c:v>
                </c:pt>
                <c:pt idx="14">
                  <c:v>10.416666666666666</c:v>
                </c:pt>
                <c:pt idx="15">
                  <c:v>22.738095238095237</c:v>
                </c:pt>
                <c:pt idx="16">
                  <c:v>18.702380952380953</c:v>
                </c:pt>
                <c:pt idx="17">
                  <c:v>15.976190476190476</c:v>
                </c:pt>
                <c:pt idx="18">
                  <c:v>26.428571428571427</c:v>
                </c:pt>
                <c:pt idx="19">
                  <c:v>20.988095238095237</c:v>
                </c:pt>
                <c:pt idx="20">
                  <c:v>10.714285714285714</c:v>
                </c:pt>
                <c:pt idx="21">
                  <c:v>12.952380952380953</c:v>
                </c:pt>
                <c:pt idx="22">
                  <c:v>9.0357142857142865</c:v>
                </c:pt>
                <c:pt idx="23">
                  <c:v>8.6666666666666661</c:v>
                </c:pt>
                <c:pt idx="24">
                  <c:v>7.6309523809523814</c:v>
                </c:pt>
                <c:pt idx="25">
                  <c:v>27.726190476190474</c:v>
                </c:pt>
              </c:numCache>
            </c:numRef>
          </c:xVal>
          <c:yVal>
            <c:numRef>
              <c:f>Foglio2!$G$4:$G$29</c:f>
              <c:numCache>
                <c:formatCode>General</c:formatCode>
                <c:ptCount val="26"/>
                <c:pt idx="0">
                  <c:v>4</c:v>
                </c:pt>
                <c:pt idx="1">
                  <c:v>4.5</c:v>
                </c:pt>
                <c:pt idx="2">
                  <c:v>4</c:v>
                </c:pt>
                <c:pt idx="3">
                  <c:v>18.5</c:v>
                </c:pt>
                <c:pt idx="4">
                  <c:v>19</c:v>
                </c:pt>
                <c:pt idx="5">
                  <c:v>5</c:v>
                </c:pt>
                <c:pt idx="6">
                  <c:v>7.5</c:v>
                </c:pt>
                <c:pt idx="7">
                  <c:v>10</c:v>
                </c:pt>
                <c:pt idx="8">
                  <c:v>7.5</c:v>
                </c:pt>
                <c:pt idx="9">
                  <c:v>4.5</c:v>
                </c:pt>
                <c:pt idx="10">
                  <c:v>4.5</c:v>
                </c:pt>
                <c:pt idx="11">
                  <c:v>15</c:v>
                </c:pt>
                <c:pt idx="12">
                  <c:v>8.5</c:v>
                </c:pt>
                <c:pt idx="13">
                  <c:v>9</c:v>
                </c:pt>
                <c:pt idx="14">
                  <c:v>4</c:v>
                </c:pt>
                <c:pt idx="15">
                  <c:v>16.5</c:v>
                </c:pt>
                <c:pt idx="16">
                  <c:v>8.5</c:v>
                </c:pt>
                <c:pt idx="17">
                  <c:v>4.5</c:v>
                </c:pt>
                <c:pt idx="18">
                  <c:v>19.5</c:v>
                </c:pt>
                <c:pt idx="19">
                  <c:v>16.5</c:v>
                </c:pt>
                <c:pt idx="20">
                  <c:v>4</c:v>
                </c:pt>
                <c:pt idx="21">
                  <c:v>5.5</c:v>
                </c:pt>
                <c:pt idx="22">
                  <c:v>4</c:v>
                </c:pt>
                <c:pt idx="23">
                  <c:v>4.5</c:v>
                </c:pt>
                <c:pt idx="24">
                  <c:v>4.5</c:v>
                </c:pt>
                <c:pt idx="25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13-4B57-ACA9-73E30E052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496560"/>
        <c:axId val="233495248"/>
      </c:scatterChart>
      <c:valAx>
        <c:axId val="233496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ppg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495248"/>
        <c:crosses val="autoZero"/>
        <c:crossBetween val="midCat"/>
      </c:valAx>
      <c:valAx>
        <c:axId val="23349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crediti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496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efficiency rating DIC. 2018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Foglio2!$F$4:$F$29</c:f>
              <c:numCache>
                <c:formatCode>0.00</c:formatCode>
                <c:ptCount val="26"/>
                <c:pt idx="0">
                  <c:v>6.4642857142857144</c:v>
                </c:pt>
                <c:pt idx="1">
                  <c:v>9.2619047619047628</c:v>
                </c:pt>
                <c:pt idx="2">
                  <c:v>5.6904761904761907</c:v>
                </c:pt>
                <c:pt idx="3">
                  <c:v>23.357142857142858</c:v>
                </c:pt>
                <c:pt idx="4">
                  <c:v>35.452380952380949</c:v>
                </c:pt>
                <c:pt idx="5">
                  <c:v>14.428571428571429</c:v>
                </c:pt>
                <c:pt idx="6">
                  <c:v>14.678571428571429</c:v>
                </c:pt>
                <c:pt idx="7">
                  <c:v>24.357142857142858</c:v>
                </c:pt>
                <c:pt idx="8">
                  <c:v>15.785714285714286</c:v>
                </c:pt>
                <c:pt idx="9">
                  <c:v>5.1785714285714288</c:v>
                </c:pt>
                <c:pt idx="10">
                  <c:v>8.1309523809523814</c:v>
                </c:pt>
                <c:pt idx="11">
                  <c:v>28.166666666666668</c:v>
                </c:pt>
                <c:pt idx="12">
                  <c:v>21.464285714285715</c:v>
                </c:pt>
                <c:pt idx="13">
                  <c:v>14.30952380952381</c:v>
                </c:pt>
                <c:pt idx="14">
                  <c:v>10.416666666666666</c:v>
                </c:pt>
                <c:pt idx="15">
                  <c:v>22.738095238095237</c:v>
                </c:pt>
                <c:pt idx="16">
                  <c:v>18.702380952380953</c:v>
                </c:pt>
                <c:pt idx="17">
                  <c:v>15.976190476190476</c:v>
                </c:pt>
                <c:pt idx="18">
                  <c:v>26.428571428571427</c:v>
                </c:pt>
                <c:pt idx="19">
                  <c:v>20.988095238095237</c:v>
                </c:pt>
                <c:pt idx="20">
                  <c:v>10.714285714285714</c:v>
                </c:pt>
                <c:pt idx="21">
                  <c:v>12.952380952380953</c:v>
                </c:pt>
                <c:pt idx="22">
                  <c:v>9.0357142857142865</c:v>
                </c:pt>
                <c:pt idx="23">
                  <c:v>8.6666666666666661</c:v>
                </c:pt>
                <c:pt idx="24">
                  <c:v>7.6309523809523814</c:v>
                </c:pt>
                <c:pt idx="25">
                  <c:v>27.726190476190474</c:v>
                </c:pt>
              </c:numCache>
            </c:numRef>
          </c:xVal>
          <c:yVal>
            <c:numRef>
              <c:f>Foglio2!$H$4:$H$29</c:f>
              <c:numCache>
                <c:formatCode>General</c:formatCode>
                <c:ptCount val="26"/>
                <c:pt idx="0">
                  <c:v>5.4</c:v>
                </c:pt>
                <c:pt idx="1">
                  <c:v>8.1</c:v>
                </c:pt>
                <c:pt idx="2">
                  <c:v>4.4000000000000004</c:v>
                </c:pt>
                <c:pt idx="3">
                  <c:v>21.9</c:v>
                </c:pt>
                <c:pt idx="4">
                  <c:v>26.3</c:v>
                </c:pt>
                <c:pt idx="5">
                  <c:v>9.9</c:v>
                </c:pt>
                <c:pt idx="6">
                  <c:v>9.8000000000000007</c:v>
                </c:pt>
                <c:pt idx="7">
                  <c:v>16.2</c:v>
                </c:pt>
                <c:pt idx="8">
                  <c:v>11</c:v>
                </c:pt>
                <c:pt idx="9">
                  <c:v>4.7</c:v>
                </c:pt>
                <c:pt idx="10">
                  <c:v>5.9</c:v>
                </c:pt>
                <c:pt idx="11">
                  <c:v>20.2</c:v>
                </c:pt>
                <c:pt idx="12">
                  <c:v>14</c:v>
                </c:pt>
                <c:pt idx="13">
                  <c:v>9.6</c:v>
                </c:pt>
                <c:pt idx="14">
                  <c:v>7.1</c:v>
                </c:pt>
                <c:pt idx="15">
                  <c:v>19.100000000000001</c:v>
                </c:pt>
                <c:pt idx="16">
                  <c:v>12.4</c:v>
                </c:pt>
                <c:pt idx="17">
                  <c:v>11.1</c:v>
                </c:pt>
                <c:pt idx="18">
                  <c:v>22.9</c:v>
                </c:pt>
                <c:pt idx="19">
                  <c:v>17.3</c:v>
                </c:pt>
                <c:pt idx="20">
                  <c:v>7.2</c:v>
                </c:pt>
                <c:pt idx="21">
                  <c:v>8</c:v>
                </c:pt>
                <c:pt idx="22">
                  <c:v>8.3000000000000007</c:v>
                </c:pt>
                <c:pt idx="23">
                  <c:v>5.4</c:v>
                </c:pt>
                <c:pt idx="24">
                  <c:v>6.4</c:v>
                </c:pt>
                <c:pt idx="25">
                  <c:v>23.7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9B-4C57-AE56-55C7B3E9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279624"/>
        <c:axId val="597282904"/>
      </c:scatterChart>
      <c:valAx>
        <c:axId val="597279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ppg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282904"/>
        <c:crosses val="autoZero"/>
        <c:crossBetween val="midCat"/>
      </c:valAx>
      <c:valAx>
        <c:axId val="597282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crediti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279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7620</xdr:rowOff>
        </xdr:from>
        <xdr:to>
          <xdr:col>17</xdr:col>
          <xdr:colOff>7620</xdr:colOff>
          <xdr:row>3</xdr:row>
          <xdr:rowOff>144780</xdr:rowOff>
        </xdr:to>
        <xdr:sp macro="" textlink="">
          <xdr:nvSpPr>
            <xdr:cNvPr id="2050" name="Pulsant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pulisci selezione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447674</xdr:colOff>
      <xdr:row>4</xdr:row>
      <xdr:rowOff>161924</xdr:rowOff>
    </xdr:from>
    <xdr:to>
      <xdr:col>25</xdr:col>
      <xdr:colOff>257175</xdr:colOff>
      <xdr:row>30</xdr:row>
      <xdr:rowOff>47625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476250</xdr:colOff>
      <xdr:row>31</xdr:row>
      <xdr:rowOff>180974</xdr:rowOff>
    </xdr:from>
    <xdr:to>
      <xdr:col>25</xdr:col>
      <xdr:colOff>257175</xdr:colOff>
      <xdr:row>53</xdr:row>
      <xdr:rowOff>171449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B1:M77"/>
  <sheetViews>
    <sheetView tabSelected="1" zoomScale="80" zoomScaleNormal="80" workbookViewId="0">
      <selection activeCell="I20" sqref="I20"/>
    </sheetView>
  </sheetViews>
  <sheetFormatPr defaultRowHeight="14.4" x14ac:dyDescent="0.3"/>
  <cols>
    <col min="1" max="1" width="3.6640625" customWidth="1"/>
    <col min="2" max="2" width="21" bestFit="1" customWidth="1"/>
    <col min="3" max="3" width="9.33203125" customWidth="1"/>
    <col min="4" max="4" width="10.44140625" bestFit="1" customWidth="1"/>
    <col min="5" max="5" width="7.109375" bestFit="1" customWidth="1"/>
    <col min="6" max="6" width="11.44140625" bestFit="1" customWidth="1"/>
    <col min="7" max="7" width="17.5546875" bestFit="1" customWidth="1"/>
    <col min="8" max="8" width="17.5546875" customWidth="1"/>
    <col min="9" max="9" width="10.44140625" bestFit="1" customWidth="1"/>
    <col min="10" max="10" width="9.88671875" bestFit="1" customWidth="1"/>
    <col min="11" max="11" width="7.109375" bestFit="1" customWidth="1"/>
    <col min="12" max="12" width="10.109375" bestFit="1" customWidth="1"/>
    <col min="13" max="13" width="17.5546875" bestFit="1" customWidth="1"/>
    <col min="14" max="14" width="14" bestFit="1" customWidth="1"/>
  </cols>
  <sheetData>
    <row r="1" spans="2:13" ht="15" thickBot="1" x14ac:dyDescent="0.35"/>
    <row r="2" spans="2:13" ht="15" thickBot="1" x14ac:dyDescent="0.35">
      <c r="B2" s="20" t="s">
        <v>0</v>
      </c>
      <c r="C2" s="30"/>
      <c r="D2" s="20" t="s">
        <v>0</v>
      </c>
      <c r="E2" s="22" t="s">
        <v>1</v>
      </c>
      <c r="F2" s="21" t="s">
        <v>52</v>
      </c>
      <c r="G2" s="23" t="s">
        <v>3</v>
      </c>
      <c r="H2" s="48" t="s">
        <v>53</v>
      </c>
      <c r="J2" s="20" t="s">
        <v>0</v>
      </c>
      <c r="K2" s="22" t="s">
        <v>1</v>
      </c>
      <c r="L2" s="21" t="s">
        <v>2</v>
      </c>
      <c r="M2" s="23" t="s">
        <v>3</v>
      </c>
    </row>
    <row r="3" spans="2:13" s="37" customFormat="1" ht="15" thickBot="1" x14ac:dyDescent="0.35">
      <c r="B3"/>
      <c r="C3" s="30"/>
      <c r="D3" s="30"/>
      <c r="E3" s="36"/>
      <c r="F3" s="30"/>
      <c r="G3" s="30"/>
      <c r="H3" s="30"/>
      <c r="J3" s="30"/>
      <c r="K3" s="36"/>
      <c r="L3" s="30"/>
      <c r="M3" s="30"/>
    </row>
    <row r="4" spans="2:13" x14ac:dyDescent="0.3">
      <c r="D4" s="38" t="s">
        <v>4</v>
      </c>
      <c r="E4" s="1" t="s">
        <v>5</v>
      </c>
      <c r="F4" s="45">
        <v>6.4642857142857144</v>
      </c>
      <c r="G4" s="14">
        <v>4</v>
      </c>
      <c r="H4" s="2">
        <v>5.4</v>
      </c>
      <c r="J4" s="13" t="str">
        <f t="shared" ref="J4" si="0">IF($B4=1,D4,"ND")</f>
        <v>ND</v>
      </c>
      <c r="K4" s="14" t="str">
        <f t="shared" ref="K4:K32" si="1">IF($B4=1,E4,"ND")</f>
        <v>ND</v>
      </c>
      <c r="L4" s="14" t="str">
        <f t="shared" ref="L4:L32" si="2">IF($B4=1,F4,"ND")</f>
        <v>ND</v>
      </c>
      <c r="M4" s="2" t="str">
        <f t="shared" ref="M4:M32" si="3">IF($B4=1,G4,"ND")</f>
        <v>ND</v>
      </c>
    </row>
    <row r="5" spans="2:13" x14ac:dyDescent="0.3">
      <c r="D5" s="3" t="s">
        <v>6</v>
      </c>
      <c r="E5" s="4" t="s">
        <v>5</v>
      </c>
      <c r="F5" s="46">
        <v>9.2619047619047628</v>
      </c>
      <c r="G5" s="12">
        <v>4.5</v>
      </c>
      <c r="H5" s="5">
        <v>8.1</v>
      </c>
      <c r="J5" s="15" t="str">
        <f t="shared" ref="J5" si="4">IF($B5=1,D5,"ND")</f>
        <v>ND</v>
      </c>
      <c r="K5" s="12" t="str">
        <f t="shared" si="1"/>
        <v>ND</v>
      </c>
      <c r="L5" s="39" t="str">
        <f t="shared" si="2"/>
        <v>ND</v>
      </c>
      <c r="M5" s="5" t="str">
        <f t="shared" si="3"/>
        <v>ND</v>
      </c>
    </row>
    <row r="6" spans="2:13" x14ac:dyDescent="0.3">
      <c r="D6" s="6" t="s">
        <v>7</v>
      </c>
      <c r="E6" s="4" t="s">
        <v>5</v>
      </c>
      <c r="F6" s="46">
        <v>5.6904761904761907</v>
      </c>
      <c r="G6" s="12">
        <v>4</v>
      </c>
      <c r="H6" s="5">
        <v>4.4000000000000004</v>
      </c>
      <c r="J6" s="15" t="str">
        <f t="shared" ref="J6:J32" si="5">IF($B6=1,D6,"ND")</f>
        <v>ND</v>
      </c>
      <c r="K6" s="12" t="str">
        <f t="shared" si="1"/>
        <v>ND</v>
      </c>
      <c r="L6" s="12" t="str">
        <f t="shared" si="2"/>
        <v>ND</v>
      </c>
      <c r="M6" s="5" t="str">
        <f t="shared" si="3"/>
        <v>ND</v>
      </c>
    </row>
    <row r="7" spans="2:13" x14ac:dyDescent="0.3">
      <c r="D7" s="6" t="s">
        <v>8</v>
      </c>
      <c r="E7" s="4" t="s">
        <v>5</v>
      </c>
      <c r="F7" s="46">
        <v>23.357142857142858</v>
      </c>
      <c r="G7" s="12">
        <v>18.5</v>
      </c>
      <c r="H7" s="5">
        <v>21.9</v>
      </c>
      <c r="J7" s="15" t="str">
        <f t="shared" si="5"/>
        <v>ND</v>
      </c>
      <c r="K7" s="12" t="str">
        <f t="shared" si="1"/>
        <v>ND</v>
      </c>
      <c r="L7" s="12" t="str">
        <f t="shared" si="2"/>
        <v>ND</v>
      </c>
      <c r="M7" s="5" t="str">
        <f t="shared" si="3"/>
        <v>ND</v>
      </c>
    </row>
    <row r="8" spans="2:13" x14ac:dyDescent="0.3">
      <c r="D8" s="3" t="s">
        <v>9</v>
      </c>
      <c r="E8" s="4" t="s">
        <v>5</v>
      </c>
      <c r="F8" s="46">
        <v>35.452380952380949</v>
      </c>
      <c r="G8" s="12">
        <v>19</v>
      </c>
      <c r="H8" s="5">
        <v>26.3</v>
      </c>
      <c r="J8" s="15" t="str">
        <f t="shared" si="5"/>
        <v>ND</v>
      </c>
      <c r="K8" s="39" t="str">
        <f t="shared" si="1"/>
        <v>ND</v>
      </c>
      <c r="L8" s="12" t="str">
        <f t="shared" si="2"/>
        <v>ND</v>
      </c>
      <c r="M8" s="5" t="str">
        <f t="shared" si="3"/>
        <v>ND</v>
      </c>
    </row>
    <row r="9" spans="2:13" x14ac:dyDescent="0.3">
      <c r="D9" s="3" t="s">
        <v>10</v>
      </c>
      <c r="E9" s="4" t="s">
        <v>5</v>
      </c>
      <c r="F9" s="46">
        <v>14.428571428571429</v>
      </c>
      <c r="G9" s="12">
        <v>5</v>
      </c>
      <c r="H9" s="5">
        <v>9.9</v>
      </c>
      <c r="J9" s="15" t="str">
        <f t="shared" si="5"/>
        <v>ND</v>
      </c>
      <c r="K9" s="12" t="str">
        <f t="shared" si="1"/>
        <v>ND</v>
      </c>
      <c r="L9" s="12" t="str">
        <f t="shared" si="2"/>
        <v>ND</v>
      </c>
      <c r="M9" s="5" t="str">
        <f t="shared" si="3"/>
        <v>ND</v>
      </c>
    </row>
    <row r="10" spans="2:13" x14ac:dyDescent="0.3">
      <c r="D10" s="6" t="s">
        <v>11</v>
      </c>
      <c r="E10" s="4" t="s">
        <v>5</v>
      </c>
      <c r="F10" s="46">
        <v>14.678571428571429</v>
      </c>
      <c r="G10" s="12">
        <v>7.5</v>
      </c>
      <c r="H10" s="5">
        <v>9.8000000000000007</v>
      </c>
      <c r="J10" s="15" t="str">
        <f t="shared" si="5"/>
        <v>ND</v>
      </c>
      <c r="K10" s="12" t="str">
        <f t="shared" si="1"/>
        <v>ND</v>
      </c>
      <c r="L10" s="12" t="str">
        <f t="shared" si="2"/>
        <v>ND</v>
      </c>
      <c r="M10" s="5" t="str">
        <f t="shared" si="3"/>
        <v>ND</v>
      </c>
    </row>
    <row r="11" spans="2:13" x14ac:dyDescent="0.3">
      <c r="D11" s="3" t="s">
        <v>12</v>
      </c>
      <c r="E11" s="4" t="s">
        <v>5</v>
      </c>
      <c r="F11" s="46">
        <v>24.357142857142858</v>
      </c>
      <c r="G11" s="12">
        <v>10</v>
      </c>
      <c r="H11" s="5">
        <v>16.2</v>
      </c>
      <c r="J11" s="15" t="str">
        <f t="shared" si="5"/>
        <v>ND</v>
      </c>
      <c r="K11" s="12" t="str">
        <f t="shared" si="1"/>
        <v>ND</v>
      </c>
      <c r="L11" s="12" t="str">
        <f t="shared" si="2"/>
        <v>ND</v>
      </c>
      <c r="M11" s="5" t="str">
        <f t="shared" si="3"/>
        <v>ND</v>
      </c>
    </row>
    <row r="12" spans="2:13" x14ac:dyDescent="0.3">
      <c r="D12" s="3" t="s">
        <v>13</v>
      </c>
      <c r="E12" s="4" t="s">
        <v>5</v>
      </c>
      <c r="F12" s="46">
        <v>15.785714285714286</v>
      </c>
      <c r="G12" s="12">
        <v>7.5</v>
      </c>
      <c r="H12" s="5">
        <v>11</v>
      </c>
      <c r="J12" s="15" t="str">
        <f t="shared" si="5"/>
        <v>ND</v>
      </c>
      <c r="K12" s="12" t="str">
        <f t="shared" si="1"/>
        <v>ND</v>
      </c>
      <c r="L12" s="12" t="str">
        <f t="shared" si="2"/>
        <v>ND</v>
      </c>
      <c r="M12" s="5" t="str">
        <f t="shared" si="3"/>
        <v>ND</v>
      </c>
    </row>
    <row r="13" spans="2:13" ht="15" thickBot="1" x14ac:dyDescent="0.35">
      <c r="D13" s="7" t="s">
        <v>14</v>
      </c>
      <c r="E13" s="8" t="s">
        <v>5</v>
      </c>
      <c r="F13" s="47">
        <v>5.1785714285714288</v>
      </c>
      <c r="G13" s="17">
        <v>4.5</v>
      </c>
      <c r="H13" s="9">
        <v>4.7</v>
      </c>
      <c r="J13" s="16" t="str">
        <f t="shared" si="5"/>
        <v>ND</v>
      </c>
      <c r="K13" s="17" t="str">
        <f t="shared" si="1"/>
        <v>ND</v>
      </c>
      <c r="L13" s="17" t="str">
        <f t="shared" si="2"/>
        <v>ND</v>
      </c>
      <c r="M13" s="40" t="str">
        <f t="shared" si="3"/>
        <v>ND</v>
      </c>
    </row>
    <row r="14" spans="2:13" x14ac:dyDescent="0.3">
      <c r="D14" s="31" t="s">
        <v>15</v>
      </c>
      <c r="E14" s="1" t="s">
        <v>16</v>
      </c>
      <c r="F14" s="45">
        <v>8.1309523809523814</v>
      </c>
      <c r="G14" s="14">
        <v>4.5</v>
      </c>
      <c r="H14" s="2">
        <v>5.9</v>
      </c>
      <c r="J14" s="13" t="str">
        <f t="shared" si="5"/>
        <v>ND</v>
      </c>
      <c r="K14" s="14" t="str">
        <f t="shared" si="1"/>
        <v>ND</v>
      </c>
      <c r="L14" s="14" t="str">
        <f t="shared" si="2"/>
        <v>ND</v>
      </c>
      <c r="M14" s="2" t="str">
        <f t="shared" si="3"/>
        <v>ND</v>
      </c>
    </row>
    <row r="15" spans="2:13" x14ac:dyDescent="0.3">
      <c r="D15" s="32" t="s">
        <v>17</v>
      </c>
      <c r="E15" s="4" t="s">
        <v>16</v>
      </c>
      <c r="F15" s="46">
        <v>28.166666666666668</v>
      </c>
      <c r="G15" s="12">
        <v>15</v>
      </c>
      <c r="H15" s="5">
        <v>20.2</v>
      </c>
      <c r="J15" s="15" t="str">
        <f t="shared" si="5"/>
        <v>ND</v>
      </c>
      <c r="K15" s="12" t="str">
        <f t="shared" si="1"/>
        <v>ND</v>
      </c>
      <c r="L15" s="12" t="str">
        <f t="shared" si="2"/>
        <v>ND</v>
      </c>
      <c r="M15" s="5" t="str">
        <f t="shared" si="3"/>
        <v>ND</v>
      </c>
    </row>
    <row r="16" spans="2:13" x14ac:dyDescent="0.3">
      <c r="D16" s="33" t="s">
        <v>18</v>
      </c>
      <c r="E16" s="4" t="s">
        <v>16</v>
      </c>
      <c r="F16" s="46">
        <v>21.464285714285715</v>
      </c>
      <c r="G16" s="12">
        <v>8.5</v>
      </c>
      <c r="H16" s="5">
        <v>14</v>
      </c>
      <c r="J16" s="15" t="str">
        <f t="shared" si="5"/>
        <v>ND</v>
      </c>
      <c r="K16" s="12" t="str">
        <f t="shared" si="1"/>
        <v>ND</v>
      </c>
      <c r="L16" s="12" t="str">
        <f t="shared" si="2"/>
        <v>ND</v>
      </c>
      <c r="M16" s="5" t="str">
        <f t="shared" si="3"/>
        <v>ND</v>
      </c>
    </row>
    <row r="17" spans="4:13" x14ac:dyDescent="0.3">
      <c r="D17" s="32" t="s">
        <v>19</v>
      </c>
      <c r="E17" s="4" t="s">
        <v>16</v>
      </c>
      <c r="F17" s="46">
        <v>14.30952380952381</v>
      </c>
      <c r="G17" s="12">
        <v>9</v>
      </c>
      <c r="H17" s="5">
        <v>9.6</v>
      </c>
      <c r="J17" s="41" t="str">
        <f t="shared" si="5"/>
        <v>ND</v>
      </c>
      <c r="K17" s="12" t="str">
        <f t="shared" si="1"/>
        <v>ND</v>
      </c>
      <c r="L17" s="12" t="str">
        <f t="shared" si="2"/>
        <v>ND</v>
      </c>
      <c r="M17" s="5" t="str">
        <f t="shared" si="3"/>
        <v>ND</v>
      </c>
    </row>
    <row r="18" spans="4:13" x14ac:dyDescent="0.3">
      <c r="D18" s="32" t="s">
        <v>20</v>
      </c>
      <c r="E18" s="4" t="s">
        <v>16</v>
      </c>
      <c r="F18" s="46">
        <v>10.416666666666666</v>
      </c>
      <c r="G18" s="12">
        <v>4</v>
      </c>
      <c r="H18" s="5">
        <v>7.1</v>
      </c>
      <c r="J18" s="15" t="str">
        <f t="shared" si="5"/>
        <v>ND</v>
      </c>
      <c r="K18" s="12" t="str">
        <f t="shared" si="1"/>
        <v>ND</v>
      </c>
      <c r="L18" s="12" t="str">
        <f t="shared" si="2"/>
        <v>ND</v>
      </c>
      <c r="M18" s="5" t="str">
        <f t="shared" si="3"/>
        <v>ND</v>
      </c>
    </row>
    <row r="19" spans="4:13" ht="15" thickBot="1" x14ac:dyDescent="0.35">
      <c r="D19" s="34" t="s">
        <v>21</v>
      </c>
      <c r="E19" s="8" t="s">
        <v>16</v>
      </c>
      <c r="F19" s="47">
        <v>22.738095238095237</v>
      </c>
      <c r="G19" s="17">
        <v>16.5</v>
      </c>
      <c r="H19" s="9">
        <v>19.100000000000001</v>
      </c>
      <c r="J19" s="16" t="str">
        <f t="shared" si="5"/>
        <v>ND</v>
      </c>
      <c r="K19" s="17" t="str">
        <f t="shared" si="1"/>
        <v>ND</v>
      </c>
      <c r="L19" s="17" t="str">
        <f t="shared" si="2"/>
        <v>ND</v>
      </c>
      <c r="M19" s="9" t="str">
        <f t="shared" si="3"/>
        <v>ND</v>
      </c>
    </row>
    <row r="20" spans="4:13" x14ac:dyDescent="0.3">
      <c r="D20" s="10" t="s">
        <v>22</v>
      </c>
      <c r="E20" s="1" t="s">
        <v>23</v>
      </c>
      <c r="F20" s="45">
        <v>18.702380952380953</v>
      </c>
      <c r="G20" s="14">
        <v>8.5</v>
      </c>
      <c r="H20" s="2">
        <v>12.4</v>
      </c>
      <c r="J20" s="13" t="str">
        <f t="shared" si="5"/>
        <v>ND</v>
      </c>
      <c r="K20" s="14" t="str">
        <f t="shared" si="1"/>
        <v>ND</v>
      </c>
      <c r="L20" s="39" t="str">
        <f t="shared" si="2"/>
        <v>ND</v>
      </c>
      <c r="M20" s="2" t="str">
        <f t="shared" si="3"/>
        <v>ND</v>
      </c>
    </row>
    <row r="21" spans="4:13" x14ac:dyDescent="0.3">
      <c r="D21" s="6" t="s">
        <v>24</v>
      </c>
      <c r="E21" s="4" t="s">
        <v>23</v>
      </c>
      <c r="F21" s="46">
        <v>15.976190476190476</v>
      </c>
      <c r="G21" s="12">
        <v>4.5</v>
      </c>
      <c r="H21" s="5">
        <v>11.1</v>
      </c>
      <c r="J21" s="15" t="str">
        <f t="shared" si="5"/>
        <v>ND</v>
      </c>
      <c r="K21" s="12" t="str">
        <f t="shared" si="1"/>
        <v>ND</v>
      </c>
      <c r="L21" s="12" t="str">
        <f t="shared" si="2"/>
        <v>ND</v>
      </c>
      <c r="M21" s="5" t="str">
        <f t="shared" si="3"/>
        <v>ND</v>
      </c>
    </row>
    <row r="22" spans="4:13" x14ac:dyDescent="0.3">
      <c r="D22" s="6" t="s">
        <v>25</v>
      </c>
      <c r="E22" s="4" t="s">
        <v>23</v>
      </c>
      <c r="F22" s="46">
        <v>26.428571428571427</v>
      </c>
      <c r="G22" s="12">
        <v>19.5</v>
      </c>
      <c r="H22" s="5">
        <v>22.9</v>
      </c>
      <c r="J22" s="15" t="str">
        <f t="shared" si="5"/>
        <v>ND</v>
      </c>
      <c r="K22" s="12" t="str">
        <f t="shared" si="1"/>
        <v>ND</v>
      </c>
      <c r="L22" s="12" t="str">
        <f t="shared" si="2"/>
        <v>ND</v>
      </c>
      <c r="M22" s="5" t="str">
        <f t="shared" si="3"/>
        <v>ND</v>
      </c>
    </row>
    <row r="23" spans="4:13" x14ac:dyDescent="0.3">
      <c r="D23" s="3" t="s">
        <v>26</v>
      </c>
      <c r="E23" s="4" t="s">
        <v>23</v>
      </c>
      <c r="F23" s="46">
        <v>20.988095238095237</v>
      </c>
      <c r="G23" s="12">
        <v>16.5</v>
      </c>
      <c r="H23" s="5">
        <v>17.3</v>
      </c>
      <c r="J23" s="15" t="str">
        <f t="shared" si="5"/>
        <v>ND</v>
      </c>
      <c r="K23" s="12" t="str">
        <f t="shared" si="1"/>
        <v>ND</v>
      </c>
      <c r="L23" s="12" t="str">
        <f t="shared" si="2"/>
        <v>ND</v>
      </c>
      <c r="M23" s="5" t="str">
        <f t="shared" si="3"/>
        <v>ND</v>
      </c>
    </row>
    <row r="24" spans="4:13" x14ac:dyDescent="0.3">
      <c r="D24" s="6" t="s">
        <v>27</v>
      </c>
      <c r="E24" s="4" t="s">
        <v>23</v>
      </c>
      <c r="F24" s="46">
        <v>10.714285714285714</v>
      </c>
      <c r="G24" s="12">
        <v>4</v>
      </c>
      <c r="H24" s="5">
        <v>7.2</v>
      </c>
      <c r="J24" s="15" t="str">
        <f t="shared" si="5"/>
        <v>ND</v>
      </c>
      <c r="K24" s="12" t="str">
        <f t="shared" si="1"/>
        <v>ND</v>
      </c>
      <c r="L24" s="12" t="str">
        <f t="shared" si="2"/>
        <v>ND</v>
      </c>
      <c r="M24" s="5" t="str">
        <f t="shared" si="3"/>
        <v>ND</v>
      </c>
    </row>
    <row r="25" spans="4:13" x14ac:dyDescent="0.3">
      <c r="D25" s="3" t="s">
        <v>28</v>
      </c>
      <c r="E25" s="4" t="s">
        <v>23</v>
      </c>
      <c r="F25" s="46">
        <v>12.952380952380953</v>
      </c>
      <c r="G25" s="12">
        <v>5.5</v>
      </c>
      <c r="H25" s="5">
        <v>8</v>
      </c>
      <c r="J25" s="15" t="str">
        <f t="shared" si="5"/>
        <v>ND</v>
      </c>
      <c r="K25" s="12" t="str">
        <f t="shared" si="1"/>
        <v>ND</v>
      </c>
      <c r="L25" s="12" t="str">
        <f t="shared" si="2"/>
        <v>ND</v>
      </c>
      <c r="M25" s="5" t="str">
        <f t="shared" si="3"/>
        <v>ND</v>
      </c>
    </row>
    <row r="26" spans="4:13" x14ac:dyDescent="0.3">
      <c r="D26" s="6" t="s">
        <v>29</v>
      </c>
      <c r="E26" s="4" t="s">
        <v>23</v>
      </c>
      <c r="F26" s="46">
        <v>9.0357142857142865</v>
      </c>
      <c r="G26" s="12">
        <v>4</v>
      </c>
      <c r="H26" s="5">
        <v>8.3000000000000007</v>
      </c>
      <c r="J26" s="15" t="str">
        <f t="shared" si="5"/>
        <v>ND</v>
      </c>
      <c r="K26" s="12" t="str">
        <f t="shared" si="1"/>
        <v>ND</v>
      </c>
      <c r="L26" s="12" t="str">
        <f t="shared" si="2"/>
        <v>ND</v>
      </c>
      <c r="M26" s="5" t="str">
        <f t="shared" si="3"/>
        <v>ND</v>
      </c>
    </row>
    <row r="27" spans="4:13" x14ac:dyDescent="0.3">
      <c r="D27" s="6" t="s">
        <v>30</v>
      </c>
      <c r="E27" s="4" t="s">
        <v>23</v>
      </c>
      <c r="F27" s="46">
        <v>8.6666666666666661</v>
      </c>
      <c r="G27" s="12">
        <v>4.5</v>
      </c>
      <c r="H27" s="5">
        <v>5.4</v>
      </c>
      <c r="J27" s="15" t="str">
        <f t="shared" si="5"/>
        <v>ND</v>
      </c>
      <c r="K27" s="12" t="str">
        <f t="shared" si="1"/>
        <v>ND</v>
      </c>
      <c r="L27" s="12" t="str">
        <f t="shared" si="2"/>
        <v>ND</v>
      </c>
      <c r="M27" s="5" t="str">
        <f t="shared" si="3"/>
        <v>ND</v>
      </c>
    </row>
    <row r="28" spans="4:13" x14ac:dyDescent="0.3">
      <c r="D28" s="3" t="s">
        <v>31</v>
      </c>
      <c r="E28" s="4" t="s">
        <v>23</v>
      </c>
      <c r="F28" s="46">
        <v>7.6309523809523814</v>
      </c>
      <c r="G28" s="12">
        <v>4.5</v>
      </c>
      <c r="H28" s="5">
        <v>6.4</v>
      </c>
      <c r="J28" s="15" t="str">
        <f t="shared" si="5"/>
        <v>ND</v>
      </c>
      <c r="K28" s="12" t="str">
        <f t="shared" si="1"/>
        <v>ND</v>
      </c>
      <c r="L28" s="12" t="str">
        <f t="shared" si="2"/>
        <v>ND</v>
      </c>
      <c r="M28" s="5" t="str">
        <f t="shared" si="3"/>
        <v>ND</v>
      </c>
    </row>
    <row r="29" spans="4:13" ht="15" thickBot="1" x14ac:dyDescent="0.35">
      <c r="D29" s="11" t="s">
        <v>32</v>
      </c>
      <c r="E29" s="8" t="s">
        <v>23</v>
      </c>
      <c r="F29" s="47">
        <v>27.726190476190474</v>
      </c>
      <c r="G29" s="17">
        <v>20</v>
      </c>
      <c r="H29" s="9">
        <v>23.7</v>
      </c>
      <c r="J29" s="16" t="str">
        <f t="shared" si="5"/>
        <v>ND</v>
      </c>
      <c r="K29" s="17" t="str">
        <f t="shared" si="1"/>
        <v>ND</v>
      </c>
      <c r="L29" s="17" t="str">
        <f t="shared" si="2"/>
        <v>ND</v>
      </c>
      <c r="M29" s="9" t="str">
        <f t="shared" si="3"/>
        <v>ND</v>
      </c>
    </row>
    <row r="30" spans="4:13" x14ac:dyDescent="0.3">
      <c r="D30" s="10" t="s">
        <v>33</v>
      </c>
      <c r="E30" s="44" t="s">
        <v>34</v>
      </c>
      <c r="F30" s="45">
        <v>2.1428571428571428</v>
      </c>
      <c r="G30" s="14">
        <v>11</v>
      </c>
      <c r="H30" s="2">
        <v>13.5</v>
      </c>
      <c r="J30" s="13" t="str">
        <f t="shared" si="5"/>
        <v>ND</v>
      </c>
      <c r="K30" s="14" t="str">
        <f t="shared" si="1"/>
        <v>ND</v>
      </c>
      <c r="L30" s="14" t="str">
        <f t="shared" si="2"/>
        <v>ND</v>
      </c>
      <c r="M30" s="2" t="str">
        <f t="shared" si="3"/>
        <v>ND</v>
      </c>
    </row>
    <row r="31" spans="4:13" x14ac:dyDescent="0.3">
      <c r="D31" s="35" t="s">
        <v>35</v>
      </c>
      <c r="E31" s="42" t="s">
        <v>34</v>
      </c>
      <c r="F31" s="46">
        <v>0.7142857142857143</v>
      </c>
      <c r="G31" s="12">
        <v>6</v>
      </c>
      <c r="H31" s="5">
        <v>7.7</v>
      </c>
      <c r="J31" s="15" t="str">
        <f t="shared" si="5"/>
        <v>ND</v>
      </c>
      <c r="K31" s="12" t="str">
        <f t="shared" si="1"/>
        <v>ND</v>
      </c>
      <c r="L31" s="12" t="str">
        <f t="shared" si="2"/>
        <v>ND</v>
      </c>
      <c r="M31" s="5" t="str">
        <f t="shared" si="3"/>
        <v>ND</v>
      </c>
    </row>
    <row r="32" spans="4:13" ht="15" thickBot="1" x14ac:dyDescent="0.35">
      <c r="D32" s="11" t="s">
        <v>36</v>
      </c>
      <c r="E32" s="43" t="s">
        <v>34</v>
      </c>
      <c r="F32" s="47">
        <v>-0.42857142857142855</v>
      </c>
      <c r="G32" s="17">
        <v>4.9000000000000004</v>
      </c>
      <c r="H32" s="9">
        <v>5.3</v>
      </c>
      <c r="J32" s="16" t="str">
        <f t="shared" si="5"/>
        <v>ND</v>
      </c>
      <c r="K32" s="17" t="str">
        <f t="shared" si="1"/>
        <v>ND</v>
      </c>
      <c r="L32" s="17" t="str">
        <f t="shared" si="2"/>
        <v>ND</v>
      </c>
      <c r="M32" s="9" t="str">
        <f t="shared" si="3"/>
        <v>ND</v>
      </c>
    </row>
    <row r="33" spans="2:5" ht="15" thickBot="1" x14ac:dyDescent="0.35"/>
    <row r="34" spans="2:5" ht="15" thickBot="1" x14ac:dyDescent="0.35">
      <c r="B34" s="26" t="s">
        <v>39</v>
      </c>
    </row>
    <row r="36" spans="2:5" x14ac:dyDescent="0.3">
      <c r="B36" t="s">
        <v>40</v>
      </c>
      <c r="C36">
        <f>SUM(B20:B29)</f>
        <v>0</v>
      </c>
      <c r="D36" t="s">
        <v>44</v>
      </c>
      <c r="E36">
        <v>4</v>
      </c>
    </row>
    <row r="37" spans="2:5" x14ac:dyDescent="0.3">
      <c r="B37" t="s">
        <v>41</v>
      </c>
      <c r="C37">
        <f>SUM(B4:B13)</f>
        <v>0</v>
      </c>
      <c r="D37" t="s">
        <v>44</v>
      </c>
      <c r="E37">
        <v>4</v>
      </c>
    </row>
    <row r="38" spans="2:5" x14ac:dyDescent="0.3">
      <c r="B38" t="s">
        <v>42</v>
      </c>
      <c r="C38">
        <f>SUM(B14:B19)</f>
        <v>0</v>
      </c>
      <c r="D38" t="s">
        <v>44</v>
      </c>
      <c r="E38">
        <v>2</v>
      </c>
    </row>
    <row r="39" spans="2:5" x14ac:dyDescent="0.3">
      <c r="B39" t="s">
        <v>43</v>
      </c>
      <c r="C39">
        <f>SUM(B30:B32)</f>
        <v>0</v>
      </c>
      <c r="D39" t="s">
        <v>44</v>
      </c>
      <c r="E39">
        <v>1</v>
      </c>
    </row>
    <row r="41" spans="2:5" x14ac:dyDescent="0.3">
      <c r="B41" t="s">
        <v>45</v>
      </c>
      <c r="C41">
        <f>SUM(M4:M32)</f>
        <v>0</v>
      </c>
      <c r="D41" t="s">
        <v>46</v>
      </c>
      <c r="E41">
        <v>95</v>
      </c>
    </row>
    <row r="42" spans="2:5" x14ac:dyDescent="0.3">
      <c r="B42" t="s">
        <v>47</v>
      </c>
      <c r="C42">
        <f>SUM(M4:M32)</f>
        <v>0</v>
      </c>
      <c r="D42" t="s">
        <v>48</v>
      </c>
      <c r="E42">
        <v>70</v>
      </c>
    </row>
    <row r="44" spans="2:5" x14ac:dyDescent="0.3">
      <c r="B44" t="s">
        <v>4</v>
      </c>
      <c r="C44" s="27">
        <f>B4</f>
        <v>0</v>
      </c>
      <c r="D44" t="s">
        <v>50</v>
      </c>
      <c r="E44" t="s">
        <v>51</v>
      </c>
    </row>
    <row r="45" spans="2:5" x14ac:dyDescent="0.3">
      <c r="B45" t="s">
        <v>6</v>
      </c>
      <c r="C45" s="27">
        <f t="shared" ref="C45:C72" si="6">B5</f>
        <v>0</v>
      </c>
      <c r="D45" t="s">
        <v>50</v>
      </c>
      <c r="E45" t="s">
        <v>51</v>
      </c>
    </row>
    <row r="46" spans="2:5" x14ac:dyDescent="0.3">
      <c r="B46" t="s">
        <v>7</v>
      </c>
      <c r="C46" s="27">
        <f t="shared" si="6"/>
        <v>0</v>
      </c>
      <c r="D46" t="s">
        <v>50</v>
      </c>
      <c r="E46" t="s">
        <v>51</v>
      </c>
    </row>
    <row r="47" spans="2:5" x14ac:dyDescent="0.3">
      <c r="B47" t="s">
        <v>8</v>
      </c>
      <c r="C47" s="27">
        <f t="shared" si="6"/>
        <v>0</v>
      </c>
      <c r="D47" t="s">
        <v>50</v>
      </c>
      <c r="E47" t="s">
        <v>51</v>
      </c>
    </row>
    <row r="48" spans="2:5" x14ac:dyDescent="0.3">
      <c r="B48" t="s">
        <v>9</v>
      </c>
      <c r="C48" s="27">
        <f t="shared" si="6"/>
        <v>0</v>
      </c>
      <c r="D48" t="s">
        <v>50</v>
      </c>
      <c r="E48" t="s">
        <v>51</v>
      </c>
    </row>
    <row r="49" spans="2:5" x14ac:dyDescent="0.3">
      <c r="B49" t="s">
        <v>10</v>
      </c>
      <c r="C49" s="27">
        <f t="shared" si="6"/>
        <v>0</v>
      </c>
      <c r="D49" t="s">
        <v>50</v>
      </c>
      <c r="E49" t="s">
        <v>51</v>
      </c>
    </row>
    <row r="50" spans="2:5" x14ac:dyDescent="0.3">
      <c r="B50" t="s">
        <v>11</v>
      </c>
      <c r="C50" s="27">
        <f t="shared" si="6"/>
        <v>0</v>
      </c>
      <c r="D50" t="s">
        <v>50</v>
      </c>
      <c r="E50" t="s">
        <v>51</v>
      </c>
    </row>
    <row r="51" spans="2:5" x14ac:dyDescent="0.3">
      <c r="B51" t="s">
        <v>12</v>
      </c>
      <c r="C51" s="27">
        <f t="shared" si="6"/>
        <v>0</v>
      </c>
      <c r="D51" t="s">
        <v>50</v>
      </c>
      <c r="E51" t="s">
        <v>51</v>
      </c>
    </row>
    <row r="52" spans="2:5" x14ac:dyDescent="0.3">
      <c r="B52" t="s">
        <v>13</v>
      </c>
      <c r="C52" s="27">
        <f t="shared" si="6"/>
        <v>0</v>
      </c>
      <c r="D52" t="s">
        <v>50</v>
      </c>
      <c r="E52" t="s">
        <v>51</v>
      </c>
    </row>
    <row r="53" spans="2:5" ht="15" thickBot="1" x14ac:dyDescent="0.35">
      <c r="B53" s="28" t="s">
        <v>14</v>
      </c>
      <c r="C53" s="29">
        <f t="shared" si="6"/>
        <v>0</v>
      </c>
      <c r="D53" s="28" t="s">
        <v>50</v>
      </c>
      <c r="E53" s="28" t="s">
        <v>51</v>
      </c>
    </row>
    <row r="54" spans="2:5" ht="15" thickTop="1" x14ac:dyDescent="0.3">
      <c r="B54" t="s">
        <v>15</v>
      </c>
      <c r="C54" s="27">
        <f t="shared" si="6"/>
        <v>0</v>
      </c>
      <c r="D54" t="s">
        <v>50</v>
      </c>
      <c r="E54" t="s">
        <v>51</v>
      </c>
    </row>
    <row r="55" spans="2:5" x14ac:dyDescent="0.3">
      <c r="B55" t="s">
        <v>17</v>
      </c>
      <c r="C55" s="27">
        <f t="shared" si="6"/>
        <v>0</v>
      </c>
      <c r="D55" t="s">
        <v>50</v>
      </c>
      <c r="E55" t="s">
        <v>51</v>
      </c>
    </row>
    <row r="56" spans="2:5" x14ac:dyDescent="0.3">
      <c r="B56" t="s">
        <v>18</v>
      </c>
      <c r="C56" s="27">
        <f t="shared" si="6"/>
        <v>0</v>
      </c>
      <c r="D56" t="s">
        <v>50</v>
      </c>
      <c r="E56" t="s">
        <v>51</v>
      </c>
    </row>
    <row r="57" spans="2:5" x14ac:dyDescent="0.3">
      <c r="B57" t="s">
        <v>19</v>
      </c>
      <c r="C57" s="27">
        <f t="shared" si="6"/>
        <v>0</v>
      </c>
      <c r="D57" t="s">
        <v>50</v>
      </c>
      <c r="E57" t="s">
        <v>51</v>
      </c>
    </row>
    <row r="58" spans="2:5" x14ac:dyDescent="0.3">
      <c r="B58" t="s">
        <v>20</v>
      </c>
      <c r="C58" s="27">
        <f t="shared" si="6"/>
        <v>0</v>
      </c>
      <c r="D58" t="s">
        <v>50</v>
      </c>
      <c r="E58" t="s">
        <v>51</v>
      </c>
    </row>
    <row r="59" spans="2:5" ht="15" thickBot="1" x14ac:dyDescent="0.35">
      <c r="B59" s="28" t="s">
        <v>21</v>
      </c>
      <c r="C59" s="29">
        <f t="shared" si="6"/>
        <v>0</v>
      </c>
      <c r="D59" s="28" t="s">
        <v>50</v>
      </c>
      <c r="E59" s="28" t="s">
        <v>51</v>
      </c>
    </row>
    <row r="60" spans="2:5" ht="15" thickTop="1" x14ac:dyDescent="0.3">
      <c r="B60" t="s">
        <v>22</v>
      </c>
      <c r="C60" s="27">
        <f t="shared" si="6"/>
        <v>0</v>
      </c>
      <c r="D60" t="s">
        <v>50</v>
      </c>
      <c r="E60" t="s">
        <v>51</v>
      </c>
    </row>
    <row r="61" spans="2:5" x14ac:dyDescent="0.3">
      <c r="B61" t="s">
        <v>24</v>
      </c>
      <c r="C61" s="27">
        <f t="shared" si="6"/>
        <v>0</v>
      </c>
      <c r="D61" t="s">
        <v>50</v>
      </c>
      <c r="E61" t="s">
        <v>51</v>
      </c>
    </row>
    <row r="62" spans="2:5" x14ac:dyDescent="0.3">
      <c r="B62" t="s">
        <v>25</v>
      </c>
      <c r="C62" s="27">
        <f t="shared" si="6"/>
        <v>0</v>
      </c>
      <c r="D62" t="s">
        <v>50</v>
      </c>
      <c r="E62" t="s">
        <v>51</v>
      </c>
    </row>
    <row r="63" spans="2:5" x14ac:dyDescent="0.3">
      <c r="B63" t="s">
        <v>26</v>
      </c>
      <c r="C63" s="27">
        <f t="shared" si="6"/>
        <v>0</v>
      </c>
      <c r="D63" t="s">
        <v>50</v>
      </c>
      <c r="E63" t="s">
        <v>51</v>
      </c>
    </row>
    <row r="64" spans="2:5" x14ac:dyDescent="0.3">
      <c r="B64" t="s">
        <v>27</v>
      </c>
      <c r="C64" s="27">
        <f t="shared" si="6"/>
        <v>0</v>
      </c>
      <c r="D64" t="s">
        <v>50</v>
      </c>
      <c r="E64" t="s">
        <v>51</v>
      </c>
    </row>
    <row r="65" spans="2:5" x14ac:dyDescent="0.3">
      <c r="B65" t="s">
        <v>28</v>
      </c>
      <c r="C65" s="27">
        <f t="shared" si="6"/>
        <v>0</v>
      </c>
      <c r="D65" t="s">
        <v>50</v>
      </c>
      <c r="E65" t="s">
        <v>51</v>
      </c>
    </row>
    <row r="66" spans="2:5" x14ac:dyDescent="0.3">
      <c r="B66" t="s">
        <v>29</v>
      </c>
      <c r="C66" s="27">
        <f t="shared" si="6"/>
        <v>0</v>
      </c>
      <c r="D66" t="s">
        <v>50</v>
      </c>
      <c r="E66" t="s">
        <v>51</v>
      </c>
    </row>
    <row r="67" spans="2:5" x14ac:dyDescent="0.3">
      <c r="B67" t="s">
        <v>30</v>
      </c>
      <c r="C67" s="27">
        <f t="shared" si="6"/>
        <v>0</v>
      </c>
      <c r="D67" t="s">
        <v>50</v>
      </c>
      <c r="E67" t="s">
        <v>51</v>
      </c>
    </row>
    <row r="68" spans="2:5" x14ac:dyDescent="0.3">
      <c r="B68" t="s">
        <v>31</v>
      </c>
      <c r="C68" s="27">
        <f t="shared" si="6"/>
        <v>0</v>
      </c>
      <c r="D68" t="s">
        <v>50</v>
      </c>
      <c r="E68" t="s">
        <v>51</v>
      </c>
    </row>
    <row r="69" spans="2:5" ht="15" thickBot="1" x14ac:dyDescent="0.35">
      <c r="B69" s="28" t="s">
        <v>32</v>
      </c>
      <c r="C69" s="29">
        <f t="shared" si="6"/>
        <v>0</v>
      </c>
      <c r="D69" s="28" t="s">
        <v>50</v>
      </c>
      <c r="E69" s="28" t="s">
        <v>51</v>
      </c>
    </row>
    <row r="70" spans="2:5" ht="15" thickTop="1" x14ac:dyDescent="0.3">
      <c r="B70" t="s">
        <v>33</v>
      </c>
      <c r="C70" s="27">
        <f t="shared" si="6"/>
        <v>0</v>
      </c>
      <c r="D70" t="s">
        <v>50</v>
      </c>
      <c r="E70" t="s">
        <v>51</v>
      </c>
    </row>
    <row r="71" spans="2:5" x14ac:dyDescent="0.3">
      <c r="B71" t="s">
        <v>35</v>
      </c>
      <c r="C71" s="27">
        <f t="shared" si="6"/>
        <v>0</v>
      </c>
      <c r="D71" t="s">
        <v>50</v>
      </c>
      <c r="E71" t="s">
        <v>51</v>
      </c>
    </row>
    <row r="72" spans="2:5" x14ac:dyDescent="0.3">
      <c r="B72" t="s">
        <v>36</v>
      </c>
      <c r="C72" s="27">
        <f t="shared" si="6"/>
        <v>0</v>
      </c>
      <c r="D72" t="s">
        <v>50</v>
      </c>
      <c r="E72" t="s">
        <v>51</v>
      </c>
    </row>
    <row r="73" spans="2:5" ht="15" thickBot="1" x14ac:dyDescent="0.35"/>
    <row r="74" spans="2:5" ht="15" thickBot="1" x14ac:dyDescent="0.35">
      <c r="B74" s="26" t="s">
        <v>49</v>
      </c>
    </row>
    <row r="75" spans="2:5" ht="15" thickBot="1" x14ac:dyDescent="0.35"/>
    <row r="76" spans="2:5" x14ac:dyDescent="0.3">
      <c r="B76" s="24" t="s">
        <v>37</v>
      </c>
      <c r="C76" s="18">
        <f>SUM(L4:L32)</f>
        <v>0</v>
      </c>
    </row>
    <row r="77" spans="2:5" ht="15" thickBot="1" x14ac:dyDescent="0.35">
      <c r="B77" s="25" t="s">
        <v>38</v>
      </c>
      <c r="C77" s="19">
        <f>C42</f>
        <v>0</v>
      </c>
    </row>
  </sheetData>
  <scenarios current="1" show="1">
    <scenario name="max" count="29" user="Autore" comment="Creato da: Autore il 5/15/2018">
      <inputCells r="B4" val="0"/>
      <inputCells r="B5" val="0"/>
      <inputCells r="B6" val="0"/>
      <inputCells r="B7" val="0"/>
      <inputCells r="B8" val="0"/>
      <inputCells r="B9" val="1"/>
      <inputCells r="B10" val="1"/>
      <inputCells r="B11" val="1"/>
      <inputCells r="B12" val="1"/>
      <inputCells r="B13" val="0"/>
      <inputCells r="B14" val="0"/>
      <inputCells r="B15" val="1"/>
      <inputCells r="B16" val="1"/>
      <inputCells r="B17" val="0"/>
      <inputCells r="B18" val="0"/>
      <inputCells r="B19" val="0"/>
      <inputCells r="B20" val="1"/>
      <inputCells r="B21" val="1"/>
      <inputCells r="B22" val="1"/>
      <inputCells r="B23" val="0"/>
      <inputCells r="B24" val="1"/>
      <inputCells r="B25" val="0"/>
      <inputCells r="B26" val="0"/>
      <inputCells r="B27" val="0"/>
      <inputCells r="B28" val="0"/>
      <inputCells r="B29" val="0"/>
      <inputCells r="B30" val="0"/>
      <inputCells r="B31" val="0"/>
      <inputCells r="B32" val="1"/>
    </scenario>
    <scenario name="min" count="29" user="Autore" comment="Creato da: Autore il 5/15/2018">
      <inputCells r="B4" val="1"/>
      <inputCells r="B5" val="1"/>
      <inputCells r="B6" val="1"/>
      <inputCells r="B7" val="0"/>
      <inputCells r="B8" val="0"/>
      <inputCells r="B9" val="0"/>
      <inputCells r="B10" val="0"/>
      <inputCells r="B11" val="0"/>
      <inputCells r="B12" val="0"/>
      <inputCells r="B13" val="1"/>
      <inputCells r="B14" val="1"/>
      <inputCells r="B15" val="0"/>
      <inputCells r="B16" val="0"/>
      <inputCells r="B17" val="1"/>
      <inputCells r="B18" val="0"/>
      <inputCells r="B19" val="0"/>
      <inputCells r="B20" val="0"/>
      <inputCells r="B21" val="0"/>
      <inputCells r="B22" val="0"/>
      <inputCells r="B23" val="1"/>
      <inputCells r="B24" val="0"/>
      <inputCells r="B25" val="0"/>
      <inputCells r="B26" val="1"/>
      <inputCells r="B27" val="1"/>
      <inputCells r="B28" val="1"/>
      <inputCells r="B29" val="0"/>
      <inputCells r="B30" val="1"/>
      <inputCells r="B31" val="0"/>
      <inputCells r="B32" val="0"/>
    </scenario>
  </scenario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Foglio2.CancellaCelle">
                <anchor moveWithCells="1" sizeWithCells="1">
                  <from>
                    <xdr:col>14</xdr:col>
                    <xdr:colOff>0</xdr:colOff>
                    <xdr:row>1</xdr:row>
                    <xdr:rowOff>7620</xdr:rowOff>
                  </from>
                  <to>
                    <xdr:col>17</xdr:col>
                    <xdr:colOff>7620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9</vt:i4>
      </vt:variant>
    </vt:vector>
  </HeadingPairs>
  <TitlesOfParts>
    <vt:vector size="10" baseType="lpstr">
      <vt:lpstr>Foglio2</vt:lpstr>
      <vt:lpstr>ali</vt:lpstr>
      <vt:lpstr>centri</vt:lpstr>
      <vt:lpstr>Coach</vt:lpstr>
      <vt:lpstr>guardie</vt:lpstr>
      <vt:lpstr>n_player_requested</vt:lpstr>
      <vt:lpstr>p_squadra</vt:lpstr>
      <vt:lpstr>player_requested</vt:lpstr>
      <vt:lpstr>pt_tot</vt:lpstr>
      <vt:lpstr>vincoli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2018-06-30T12:58:30Z</dcterms:modified>
</cp:coreProperties>
</file>